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n\Documents\GitHub\Python-x-Meet-je-leefomgeving\"/>
    </mc:Choice>
  </mc:AlternateContent>
  <xr:revisionPtr revIDLastSave="0" documentId="8_{F70FD66F-B7AF-48A5-82C2-B37DCA0376B5}" xr6:coauthVersionLast="47" xr6:coauthVersionMax="47" xr10:uidLastSave="{00000000-0000-0000-0000-000000000000}"/>
  <bookViews>
    <workbookView xWindow="-120" yWindow="-120" windowWidth="29040" windowHeight="15840" xr2:uid="{92D1C851-7840-49F1-938F-1662EF0A8FDE}"/>
  </bookViews>
  <sheets>
    <sheet name="rubric leeg" sheetId="28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28" l="1" a="1"/>
  <c r="H2" i="28" a="1"/>
  <c r="H8" i="28" a="1"/>
  <c r="H5" i="28" a="1"/>
  <c r="H9" i="28" a="1"/>
  <c r="H6" i="28" a="1"/>
  <c r="H4" i="28" a="1"/>
  <c r="H7" i="28" a="1"/>
  <c r="H14" i="28" a="1"/>
  <c r="H11" i="28" a="1"/>
  <c r="H15" i="28" a="1"/>
  <c r="H10" i="28" a="1"/>
  <c r="H3" i="28" a="1"/>
  <c r="H13" i="28" a="1"/>
  <c r="H13" i="28" l="1"/>
  <c r="H3" i="28"/>
  <c r="H10" i="28"/>
  <c r="H15" i="28"/>
  <c r="H11" i="28"/>
  <c r="H14" i="28"/>
  <c r="H7" i="28"/>
  <c r="H4" i="28"/>
  <c r="H6" i="28"/>
  <c r="H9" i="28"/>
  <c r="H5" i="28"/>
  <c r="H8" i="28"/>
  <c r="H2" i="28"/>
  <c r="H12" i="28"/>
  <c r="I9" i="28" l="1"/>
  <c r="I15" i="28"/>
  <c r="I5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<sst xmlns="http://schemas.openxmlformats.org/spreadsheetml/2006/main" count="87" uniqueCount="64">
  <si>
    <t>Onderdeel</t>
  </si>
  <si>
    <t>Weging</t>
  </si>
  <si>
    <t>Inzet</t>
  </si>
  <si>
    <t>In de les was geen of nauwelijks activiteit. Interventies van de docent leidden niet tot verandering.</t>
  </si>
  <si>
    <t>De code ontbreekt.</t>
  </si>
  <si>
    <t>Onvoldoende (0%)</t>
  </si>
  <si>
    <t>Uitstekend (100%)</t>
  </si>
  <si>
    <t>Zwak (40%)</t>
  </si>
  <si>
    <t>Goed + er is uitzonderlijke inspanning geleverd.</t>
  </si>
  <si>
    <t>Score</t>
  </si>
  <si>
    <t>Cijfer</t>
  </si>
  <si>
    <t>Niet ingeleverd of vol errors.</t>
  </si>
  <si>
    <t>Regelmatig werd er in de les niet aan de opdrachten gewerkt (en er was geen compensatie buiten de les). De docent had vooral een stimulerende rol.</t>
  </si>
  <si>
    <t>Elke les werd aan de opdrachten gewerkt en regelmatig werd de stand van zaken geëvalueerd. De docent had alleen een adviserende rol.</t>
  </si>
  <si>
    <t>De figuren kloppen totaal niet, of er is maar een deel van de data weergegeven of een deel van de figuren gemaakt.</t>
  </si>
  <si>
    <t>De figuren kloppen bijna helemaal of is niet de juiste periode weergegeven. Er is gebruik gemaakt van subplots.</t>
  </si>
  <si>
    <t>De figuren kloppen helemaal en geven de gevraagde data en periodes weer in subplots.</t>
  </si>
  <si>
    <t>De grafiek heeft een titel en de assen een label zodat er duidelijk is wat wat is.</t>
  </si>
  <si>
    <t>De gevraagde figuren ontbreken (ook na het oplossen van eventuele errors).</t>
  </si>
  <si>
    <t>Het script produceert zeer incorrecte resultaten, of vereist het oplossen van een paar eenvoudige errors.</t>
  </si>
  <si>
    <t>Het script produceert grafieken, maar op erg omslachtige manieren.</t>
  </si>
  <si>
    <t>Het script produceert grafieken, op nette manieren die uitgelegd zijn in het dictaat.</t>
  </si>
  <si>
    <t>De opmaak is slecht: er is niet duidelijk wat er in welke plot staat of welk getal op welke plek hoort.</t>
  </si>
  <si>
    <t>Voldoende (60%)</t>
  </si>
  <si>
    <t>Goed (80%)</t>
  </si>
  <si>
    <t>Voldoende + goede limieten op de assen, grids, etc.</t>
  </si>
  <si>
    <t>Goed + er is uitzonderlijke inspanning geleverd (zoals: figuur extra goed overzichtelijk en leesbaar).</t>
  </si>
  <si>
    <t>Goed + er is uitzonderlijke inspanning geleverd (zoals: functies of technieken gebruikt die niet in het dictaat staan).</t>
  </si>
  <si>
    <t>Goed + er is uitzonderlijke inspanning geleverd, in het bijzonder: plotten van voortschrijdend gemiddelde.</t>
  </si>
  <si>
    <t>Bonuspunt UV-index</t>
  </si>
  <si>
    <t>Bonuspunt VOC en CO2</t>
  </si>
  <si>
    <t>Ontbreekt</t>
  </si>
  <si>
    <t>Aanwezig</t>
  </si>
  <si>
    <t>Slotopdracht H2: 
functionaliteit</t>
  </si>
  <si>
    <t>Slotopdracht H2: 
efficiëntie</t>
  </si>
  <si>
    <t>Slotopdracht H2:
commentaar</t>
  </si>
  <si>
    <t>Niet ingeleverd of ontbreekt compleet.</t>
  </si>
  <si>
    <t>Het script produceert zeer incorrecte resultaten, of vereist het oplossen van een enkele error.</t>
  </si>
  <si>
    <t>Hier en daar is wat overbodig, of er is gebruik gemaakt van een onhandige loop.</t>
  </si>
  <si>
    <t>Hier en daar is (nutteloos) commentaar.</t>
  </si>
  <si>
    <t>Over het algemeen wat nuttig commentaar aanwezig.</t>
  </si>
  <si>
    <t>Overal nuttig commentaar aanwezig.</t>
  </si>
  <si>
    <t>Goed + er is uitzonderlijke inspanning geleverd (zoals: functies gebruikt die niet in de reader staan).</t>
  </si>
  <si>
    <t>Goed + er is uitzonderlijke inspanning geleverd (zoals: concept uitgelegd i.p.v. wat er precies in die regel gebeurt).</t>
  </si>
  <si>
    <t>Slotopdracht H4: 
functionaliteit</t>
  </si>
  <si>
    <t>Slotopdracht H4: 
efficiëntie</t>
  </si>
  <si>
    <t>Slotopdracht H4:
commentaar</t>
  </si>
  <si>
    <t>Slotopdracht H2:
inleveren</t>
  </si>
  <si>
    <t>Op tijd ingeleverd.</t>
  </si>
  <si>
    <t>Tot 1 week te laat ingeleverd.</t>
  </si>
  <si>
    <t>Tot 2 weken te laat ingeleverd.</t>
  </si>
  <si>
    <t>Tot 3 weken te laat ingeleverd.</t>
  </si>
  <si>
    <t>Slotopdracht H4:
inleveren</t>
  </si>
  <si>
    <t>Slotopdracht H6: 
code</t>
  </si>
  <si>
    <t>Slotopdracht H6: 
kwaliteit</t>
  </si>
  <si>
    <t>Slotopdracht H6: 
opmaak</t>
  </si>
  <si>
    <t>Elke les werd er aan de opdrachten gewerkt (of gecompenseerd). Er was geen duidelijke planning of reflectie. Er werden veel inhoudelijke vragen aan de docent gesteld.</t>
  </si>
  <si>
    <t>Meer dan 3 weken te laat ingeleverd.</t>
  </si>
  <si>
    <t>Het script produceert niet helemaal correcte resultaten.</t>
  </si>
  <si>
    <t>Het script produceert volledig correcte resultaten.</t>
  </si>
  <si>
    <t>Goed + er is uitzonderlijke inspanning geleverd (zoals: alleen de resultaten netjes geprint).</t>
  </si>
  <si>
    <t>Er gebeuren heel veel overbodige of nutteloze dingen, of er is gebruik gemaakt van een vreemde loop.</t>
  </si>
  <si>
    <t>Er gebeurt (ongeveer) wat er moet gebeuren.</t>
  </si>
  <si>
    <t>Er gebeurt wat er moet gebeuren, en er is wat aandacht besteed aan optimalisatie, compactheid en/of efficiëntie.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</si>
</sst>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left" vertical="top"/>
    </xf>
    <xf numFmtId="49" fontId="8" fillId="0" borderId="0" xfId="3" applyNumberFormat="1" applyFont="1" applyFill="1" applyAlignment="1">
      <alignment horizontal="left" vertical="top" wrapText="1"/>
    </xf>
    <xf numFmtId="49" fontId="8" fillId="0" borderId="0" xfId="0" applyNumberFormat="1" applyFont="1" applyFill="1" applyAlignment="1">
      <alignment horizontal="left" vertical="top" wrapText="1"/>
    </xf>
    <xf numFmtId="49" fontId="8" fillId="0" borderId="0" xfId="1" applyNumberFormat="1" applyFont="1" applyFill="1" applyAlignment="1">
      <alignment horizontal="left" vertical="top" wrapText="1"/>
    </xf>
    <xf numFmtId="49" fontId="8" fillId="0" borderId="0" xfId="2" applyNumberFormat="1" applyFont="1" applyFill="1" applyAlignment="1">
      <alignment horizontal="left" vertical="top" wrapText="1"/>
    </xf>
    <xf numFmtId="49" fontId="8" fillId="0" borderId="0" xfId="4" applyNumberFormat="1" applyFont="1" applyFill="1" applyAlignment="1">
      <alignment horizontal="left" vertical="top" wrapText="1"/>
    </xf>
    <xf numFmtId="49" fontId="8" fillId="0" borderId="0" xfId="5" applyNumberFormat="1" applyFont="1" applyFill="1" applyAlignment="1">
      <alignment horizontal="left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0" fillId="0" borderId="0" xfId="0" applyBorder="1"/>
    <xf numFmtId="0" fontId="5" fillId="0" borderId="0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center" vertical="top"/>
    </xf>
    <xf numFmtId="49" fontId="8" fillId="0" borderId="0" xfId="2" applyNumberFormat="1" applyFont="1" applyFill="1" applyBorder="1" applyAlignment="1">
      <alignment horizontal="left" vertical="top" wrapText="1"/>
    </xf>
    <xf numFmtId="49" fontId="8" fillId="0" borderId="0" xfId="4" applyNumberFormat="1" applyFont="1" applyFill="1" applyBorder="1" applyAlignment="1">
      <alignment horizontal="left" vertical="top" wrapText="1"/>
    </xf>
    <xf numFmtId="49" fontId="8" fillId="0" borderId="0" xfId="3" applyNumberFormat="1" applyFont="1" applyFill="1" applyBorder="1" applyAlignment="1">
      <alignment horizontal="left" vertical="top" wrapText="1"/>
    </xf>
    <xf numFmtId="49" fontId="8" fillId="0" borderId="0" xfId="1" applyNumberFormat="1" applyFont="1" applyFill="1" applyBorder="1" applyAlignment="1">
      <alignment horizontal="left" vertical="top" wrapText="1"/>
    </xf>
    <xf numFmtId="0" fontId="8" fillId="0" borderId="0" xfId="0" applyNumberFormat="1" applyFont="1" applyFill="1" applyBorder="1" applyAlignment="1">
      <alignment horizontal="right" wrapText="1"/>
    </xf>
    <xf numFmtId="49" fontId="8" fillId="0" borderId="0" xfId="5" applyNumberFormat="1" applyFont="1" applyFill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3" fillId="3" borderId="1" xfId="2" applyBorder="1"/>
    <xf numFmtId="0" fontId="7" fillId="5" borderId="1" xfId="4" applyFont="1" applyBorder="1"/>
    <xf numFmtId="0" fontId="4" fillId="4" borderId="1" xfId="3" applyBorder="1"/>
    <xf numFmtId="0" fontId="2" fillId="2" borderId="1" xfId="1" applyBorder="1"/>
    <xf numFmtId="0" fontId="6" fillId="6" borderId="1" xfId="5" applyFont="1" applyBorder="1"/>
    <xf numFmtId="0" fontId="0" fillId="0" borderId="1" xfId="0" applyBorder="1"/>
    <xf numFmtId="0" fontId="5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center" vertical="top"/>
    </xf>
    <xf numFmtId="49" fontId="8" fillId="0" borderId="1" xfId="2" applyNumberFormat="1" applyFont="1" applyFill="1" applyBorder="1" applyAlignment="1">
      <alignment horizontal="left" vertical="top" wrapText="1"/>
    </xf>
    <xf numFmtId="49" fontId="8" fillId="0" borderId="1" xfId="4" applyNumberFormat="1" applyFont="1" applyFill="1" applyBorder="1" applyAlignment="1">
      <alignment horizontal="left" vertical="top" wrapText="1"/>
    </xf>
    <xf numFmtId="49" fontId="8" fillId="0" borderId="1" xfId="3" applyNumberFormat="1" applyFont="1" applyFill="1" applyBorder="1" applyAlignment="1">
      <alignment horizontal="left" vertical="top" wrapText="1"/>
    </xf>
    <xf numFmtId="49" fontId="8" fillId="0" borderId="1" xfId="5" applyNumberFormat="1" applyFont="1" applyFill="1" applyBorder="1" applyAlignment="1">
      <alignment horizontal="left" vertical="top" wrapText="1"/>
    </xf>
    <xf numFmtId="0" fontId="9" fillId="0" borderId="1" xfId="0" applyNumberFormat="1" applyFont="1" applyFill="1" applyBorder="1" applyAlignment="1">
      <alignment horizontal="right" wrapText="1"/>
    </xf>
    <xf numFmtId="49" fontId="8" fillId="0" borderId="1" xfId="1" applyNumberFormat="1" applyFont="1" applyFill="1" applyBorder="1" applyAlignment="1">
      <alignment horizontal="left" vertical="top" wrapText="1"/>
    </xf>
    <xf numFmtId="164" fontId="0" fillId="0" borderId="1" xfId="0" applyNumberFormat="1" applyFont="1" applyFill="1" applyBorder="1" applyAlignment="1">
      <alignment horizontal="right" wrapText="1"/>
    </xf>
    <xf numFmtId="0" fontId="5" fillId="0" borderId="1" xfId="0" applyFont="1" applyFill="1" applyBorder="1" applyAlignment="1">
      <alignment horizontal="left" vertical="top"/>
    </xf>
    <xf numFmtId="0" fontId="0" fillId="0" borderId="1" xfId="0" applyFill="1" applyBorder="1" applyAlignment="1">
      <alignment horizontal="center" vertical="top"/>
    </xf>
    <xf numFmtId="49" fontId="8" fillId="0" borderId="1" xfId="0" applyNumberFormat="1" applyFont="1" applyFill="1" applyBorder="1" applyAlignment="1">
      <alignment horizontal="left" vertical="top" wrapText="1"/>
    </xf>
  </cellXfs>
  <cellStyles count="6">
    <cellStyle name="40% - Accent2" xfId="4" builtinId="35"/>
    <cellStyle name="40% - Accent6" xfId="5" builtinId="51"/>
    <cellStyle name="Goed" xfId="1" builtinId="26"/>
    <cellStyle name="Neutraal" xfId="3" builtinId="28"/>
    <cellStyle name="Ongeldig" xfId="2" builtinId="27"/>
    <cellStyle name="Standaard" xfId="0" builtinId="0"/>
  </cellStyles>
  <dxfs count="19"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6B4E1B0-9AEE-44AA-83F0-FFA95142AF77}" name="Tabel171746101227" displayName="Tabel171746101227" ref="A1:I15" totalsRowShown="0" dataDxfId="17" headerRowBorderDxfId="18">
  <autoFilter ref="A1:I15" xr:uid="{B6B4E1B0-9AEE-44AA-83F0-FFA95142AF77}"/>
  <tableColumns count="9">
    <tableColumn id="1" xr3:uid="{2C814FBA-97D0-48A4-8EB4-B5109797AFD1}" name="Onderdeel" dataDxfId="16" totalsRowDxfId="15"/>
    <tableColumn id="2" xr3:uid="{F870F187-8CFA-4800-99C8-C82407D442D5}" name="Weging" dataDxfId="14" totalsRowDxfId="13"/>
    <tableColumn id="3" xr3:uid="{0653539B-0242-4436-9BB6-E77E782DAFE7}" name="Onvoldoende (0%)" dataDxfId="12" totalsRowDxfId="11"/>
    <tableColumn id="4" xr3:uid="{415F263D-25D5-4C32-B14C-27145F62F4C0}" name="Zwak (40%)" dataDxfId="10" totalsRowDxfId="9"/>
    <tableColumn id="5" xr3:uid="{E8CB2757-3D44-480E-A60E-3D334B97F932}" name="Voldoende (60%)" dataDxfId="8" totalsRowDxfId="7"/>
    <tableColumn id="6" xr3:uid="{4D7B6CEE-A266-4F1C-9F3B-7E08D0F48E4B}" name="Goed (80%)" dataDxfId="6" totalsRowDxfId="5"/>
    <tableColumn id="7" xr3:uid="{0357BCF6-B69D-4A66-81C7-3495BF3B104D}" name="Uitstekend (100%)" dataDxfId="4" totalsRowDxfId="3"/>
    <tableColumn id="8" xr3:uid="{1CC7EDA7-831B-4691-8044-EE6A87CB0A62}" name="Score" dataDxfId="2">
      <calculatedColumnFormula array="1">(IF(InteriorColor(C2)&gt;0,B2*0)+IF(InteriorColor(D2)&gt;0,B2*0.4)+IF(InteriorColor(E2)&gt;0,B2*0.6)+IF(InteriorColor(F2)&gt;0,B2*0.8)+IF(InteriorColor(G2)&gt;0,B2*1))</calculatedColumnFormula>
    </tableColumn>
    <tableColumn id="11" xr3:uid="{E71EFF1E-AD09-43B5-8717-7C0BE6613703}" name="Cijfer" dataDxfId="1" totalsRow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F0E57-E9CF-4FDD-9FBC-C3AF88010EFA}">
  <dimension ref="A1:I15"/>
  <sheetViews>
    <sheetView tabSelected="1" workbookViewId="0">
      <selection activeCell="E6" sqref="E6"/>
    </sheetView>
  </sheetViews>
  <sheetFormatPr defaultRowHeight="15" x14ac:dyDescent="0.25"/>
  <cols>
    <col min="1" max="1" width="22" bestFit="1" customWidth="1"/>
    <col min="2" max="2" width="10.140625" bestFit="1" customWidth="1"/>
    <col min="3" max="3" width="35.7109375" customWidth="1"/>
    <col min="4" max="7" width="40.7109375" customWidth="1"/>
    <col min="8" max="9" width="8.140625" bestFit="1" customWidth="1"/>
  </cols>
  <sheetData>
    <row r="1" spans="1:9" ht="15.75" thickBot="1" x14ac:dyDescent="0.3">
      <c r="A1" s="20" t="s">
        <v>0</v>
      </c>
      <c r="B1" s="20" t="s">
        <v>1</v>
      </c>
      <c r="C1" s="21" t="s">
        <v>5</v>
      </c>
      <c r="D1" s="22" t="s">
        <v>7</v>
      </c>
      <c r="E1" s="23" t="s">
        <v>23</v>
      </c>
      <c r="F1" s="24" t="s">
        <v>24</v>
      </c>
      <c r="G1" s="25" t="s">
        <v>6</v>
      </c>
      <c r="H1" s="26" t="s">
        <v>9</v>
      </c>
      <c r="I1" s="26" t="s">
        <v>10</v>
      </c>
    </row>
    <row r="2" spans="1:9" ht="45" x14ac:dyDescent="0.25">
      <c r="A2" s="10" t="s">
        <v>33</v>
      </c>
      <c r="B2" s="9">
        <v>9</v>
      </c>
      <c r="C2" s="6" t="s">
        <v>11</v>
      </c>
      <c r="D2" s="7" t="s">
        <v>37</v>
      </c>
      <c r="E2" s="3" t="s">
        <v>58</v>
      </c>
      <c r="F2" s="5" t="s">
        <v>59</v>
      </c>
      <c r="G2" s="8" t="s">
        <v>60</v>
      </c>
      <c r="H2" cm="1">
        <f t="array" aca="1" ref="H2" ca="1">(IF(InteriorColor(C2)&gt;0,B2*0)+IF(InteriorColor(D2)&gt;0,B2*0.4)+IF(InteriorColor(E2)&gt;0,B2*0.6)+IF(InteriorColor(F2)&gt;0,B2*0.8)+IF(InteriorColor(G2)&gt;0,B2*1))</f>
        <v>0</v>
      </c>
      <c r="I2" s="4"/>
    </row>
    <row r="3" spans="1:9" ht="45" x14ac:dyDescent="0.25">
      <c r="A3" s="10" t="s">
        <v>34</v>
      </c>
      <c r="B3" s="9">
        <v>9</v>
      </c>
      <c r="C3" s="7" t="s">
        <v>61</v>
      </c>
      <c r="D3" s="4" t="s">
        <v>38</v>
      </c>
      <c r="E3" s="3" t="s">
        <v>62</v>
      </c>
      <c r="F3" s="5" t="s">
        <v>63</v>
      </c>
      <c r="G3" s="8" t="s">
        <v>42</v>
      </c>
      <c r="H3" cm="1">
        <f t="array" aca="1" ref="H3" ca="1">(IF(InteriorColor(C3)&gt;0,B3*0)+IF(InteriorColor(D3)&gt;0,B3*0.4)+IF(InteriorColor(E3)&gt;0,B3*0.6)+IF(InteriorColor(F3)&gt;0,B3*0.8)+IF(InteriorColor(G3)&gt;0,B3*1))</f>
        <v>0</v>
      </c>
      <c r="I3" s="4"/>
    </row>
    <row r="4" spans="1:9" ht="45" x14ac:dyDescent="0.25">
      <c r="A4" s="12" t="s">
        <v>35</v>
      </c>
      <c r="B4" s="13">
        <v>2</v>
      </c>
      <c r="C4" s="14" t="s">
        <v>36</v>
      </c>
      <c r="D4" s="15" t="s">
        <v>39</v>
      </c>
      <c r="E4" s="16" t="s">
        <v>40</v>
      </c>
      <c r="F4" s="17" t="s">
        <v>41</v>
      </c>
      <c r="G4" s="19" t="s">
        <v>43</v>
      </c>
      <c r="H4" s="11" cm="1">
        <f t="array" aca="1" ref="H4" ca="1">(IF(InteriorColor(C4)&gt;0,B4*0)+IF(InteriorColor(D4)&gt;0,B4*0.4)+IF(InteriorColor(E4)&gt;0,B4*0.6)+IF(InteriorColor(F4)&gt;0,B4*0.8)+IF(InteriorColor(G4)&gt;0,B4*1))</f>
        <v>0</v>
      </c>
      <c r="I4" s="18"/>
    </row>
    <row r="5" spans="1:9" ht="30.75" thickBot="1" x14ac:dyDescent="0.3">
      <c r="A5" s="27" t="s">
        <v>47</v>
      </c>
      <c r="B5" s="28">
        <v>-10</v>
      </c>
      <c r="C5" s="29" t="s">
        <v>57</v>
      </c>
      <c r="D5" s="30" t="s">
        <v>51</v>
      </c>
      <c r="E5" s="31" t="s">
        <v>50</v>
      </c>
      <c r="F5" s="34" t="s">
        <v>49</v>
      </c>
      <c r="G5" s="32" t="s">
        <v>48</v>
      </c>
      <c r="H5" s="26" cm="1">
        <f t="array" aca="1" ref="H5" ca="1">(IF(InteriorColor(C5)&gt;0,B5*1)+IF(InteriorColor(D5)&gt;0,B5*0.6)+IF(InteriorColor(E5)&gt;0,B5*0.4)+IF(InteriorColor(F5)&gt;0,B5*0.2)+IF(InteriorColor(G5)&gt;0,B5*0))</f>
        <v>0</v>
      </c>
      <c r="I5" s="33">
        <f ca="1">SUM(H2:H5)/2</f>
        <v>0</v>
      </c>
    </row>
    <row r="6" spans="1:9" ht="45" x14ac:dyDescent="0.25">
      <c r="A6" s="10" t="s">
        <v>44</v>
      </c>
      <c r="B6" s="9">
        <v>8</v>
      </c>
      <c r="C6" s="6" t="s">
        <v>11</v>
      </c>
      <c r="D6" s="7" t="s">
        <v>37</v>
      </c>
      <c r="E6" s="3" t="s">
        <v>58</v>
      </c>
      <c r="F6" s="5" t="s">
        <v>59</v>
      </c>
      <c r="G6" s="8" t="s">
        <v>60</v>
      </c>
      <c r="H6" cm="1">
        <f t="array" aca="1" ref="H6" ca="1">(IF(InteriorColor(C6)&gt;0,B6*0)+IF(InteriorColor(D6)&gt;0,B6*0.4)+IF(InteriorColor(E6)&gt;0,B6*0.6)+IF(InteriorColor(F6)&gt;0,B6*0.8)+IF(InteriorColor(G6)&gt;0,B6*1))</f>
        <v>0</v>
      </c>
      <c r="I6" s="4"/>
    </row>
    <row r="7" spans="1:9" ht="45" x14ac:dyDescent="0.25">
      <c r="A7" s="10" t="s">
        <v>45</v>
      </c>
      <c r="B7" s="9">
        <v>8</v>
      </c>
      <c r="C7" s="7" t="s">
        <v>61</v>
      </c>
      <c r="D7" s="4" t="s">
        <v>38</v>
      </c>
      <c r="E7" s="3" t="s">
        <v>62</v>
      </c>
      <c r="F7" s="5" t="s">
        <v>63</v>
      </c>
      <c r="G7" s="8" t="s">
        <v>42</v>
      </c>
      <c r="H7" cm="1">
        <f t="array" aca="1" ref="H7" ca="1">(IF(InteriorColor(C7)&gt;0,B7*0)+IF(InteriorColor(D7)&gt;0,B7*0.4)+IF(InteriorColor(E7)&gt;0,B7*0.6)+IF(InteriorColor(F7)&gt;0,B7*0.8)+IF(InteriorColor(G7)&gt;0,B7*1))</f>
        <v>0</v>
      </c>
      <c r="I7" s="4"/>
    </row>
    <row r="8" spans="1:9" ht="45" x14ac:dyDescent="0.25">
      <c r="A8" s="12" t="s">
        <v>46</v>
      </c>
      <c r="B8" s="13">
        <v>4</v>
      </c>
      <c r="C8" s="14" t="s">
        <v>36</v>
      </c>
      <c r="D8" s="15" t="s">
        <v>39</v>
      </c>
      <c r="E8" s="16" t="s">
        <v>40</v>
      </c>
      <c r="F8" s="17" t="s">
        <v>41</v>
      </c>
      <c r="G8" s="19" t="s">
        <v>43</v>
      </c>
      <c r="H8" s="11" cm="1">
        <f t="array" aca="1" ref="H8" ca="1">(IF(InteriorColor(C8)&gt;0,B8*0)+IF(InteriorColor(D8)&gt;0,B8*0.4)+IF(InteriorColor(E8)&gt;0,B8*0.6)+IF(InteriorColor(F8)&gt;0,B8*0.8)+IF(InteriorColor(G8)&gt;0,B8*1))</f>
        <v>0</v>
      </c>
      <c r="I8" s="18"/>
    </row>
    <row r="9" spans="1:9" ht="30.75" thickBot="1" x14ac:dyDescent="0.3">
      <c r="A9" s="27" t="s">
        <v>52</v>
      </c>
      <c r="B9" s="28">
        <v>-10</v>
      </c>
      <c r="C9" s="29" t="s">
        <v>57</v>
      </c>
      <c r="D9" s="30" t="s">
        <v>51</v>
      </c>
      <c r="E9" s="31" t="s">
        <v>50</v>
      </c>
      <c r="F9" s="34" t="s">
        <v>49</v>
      </c>
      <c r="G9" s="32" t="s">
        <v>48</v>
      </c>
      <c r="H9" s="26" cm="1">
        <f t="array" aca="1" ref="H9" ca="1">(IF(InteriorColor(C9)&gt;0,B9*1)+IF(InteriorColor(D9)&gt;0,B9*0.6)+IF(InteriorColor(E9)&gt;0,B9*0.4)+IF(InteriorColor(F9)&gt;0,B9*0.2)+IF(InteriorColor(G9)&gt;0,B9*0))</f>
        <v>0</v>
      </c>
      <c r="I9" s="33">
        <f ca="1">SUM(H6:H9)/2</f>
        <v>0</v>
      </c>
    </row>
    <row r="10" spans="1:9" ht="45" x14ac:dyDescent="0.25">
      <c r="A10" s="10" t="s">
        <v>53</v>
      </c>
      <c r="B10" s="1">
        <v>30</v>
      </c>
      <c r="C10" s="4" t="s">
        <v>4</v>
      </c>
      <c r="D10" s="7" t="s">
        <v>19</v>
      </c>
      <c r="E10" s="3" t="s">
        <v>20</v>
      </c>
      <c r="F10" s="3" t="s">
        <v>21</v>
      </c>
      <c r="G10" s="8" t="s">
        <v>27</v>
      </c>
      <c r="H10" cm="1">
        <f t="array" aca="1" ref="H10" ca="1">(IF(InteriorColor(C10)&gt;0,B10*0)+IF(InteriorColor(D10)&gt;0,B10*0.4)+IF(InteriorColor(E10)&gt;0,B10*0.6)+IF(InteriorColor(F10)&gt;0,B10*0.8)+IF(InteriorColor(G10)&gt;0,B10*1))</f>
        <v>0</v>
      </c>
      <c r="I10" s="4"/>
    </row>
    <row r="11" spans="1:9" ht="45" x14ac:dyDescent="0.25">
      <c r="A11" s="10" t="s">
        <v>54</v>
      </c>
      <c r="B11" s="1">
        <v>10</v>
      </c>
      <c r="C11" s="6" t="s">
        <v>18</v>
      </c>
      <c r="D11" s="4" t="s">
        <v>14</v>
      </c>
      <c r="E11" s="4" t="s">
        <v>15</v>
      </c>
      <c r="F11" s="4" t="s">
        <v>16</v>
      </c>
      <c r="G11" s="4" t="s">
        <v>28</v>
      </c>
      <c r="H11" cm="1">
        <f t="array" aca="1" ref="H11" ca="1">(IF(InteriorColor(C11)&gt;0,B11*0)+IF(InteriorColor(D11)&gt;0,B11*0.4)+IF(InteriorColor(E11)&gt;0,B11*0.6)+IF(InteriorColor(F11)&gt;0,B11*0.8)+IF(InteriorColor(G11)&gt;0,B11*1))</f>
        <v>0</v>
      </c>
      <c r="I11" s="4"/>
    </row>
    <row r="12" spans="1:9" ht="45" x14ac:dyDescent="0.25">
      <c r="A12" s="10" t="s">
        <v>55</v>
      </c>
      <c r="B12" s="1">
        <v>10</v>
      </c>
      <c r="C12" s="6" t="s">
        <v>18</v>
      </c>
      <c r="D12" s="7" t="s">
        <v>22</v>
      </c>
      <c r="E12" s="4" t="s">
        <v>17</v>
      </c>
      <c r="F12" s="4" t="s">
        <v>25</v>
      </c>
      <c r="G12" s="4" t="s">
        <v>26</v>
      </c>
      <c r="H12" cm="1">
        <f t="array" aca="1" ref="H12" ca="1">(IF(InteriorColor(C12)&gt;0,B12*0)+IF(InteriorColor(D12)&gt;0,B12*0.4)+IF(InteriorColor(E12)&gt;0,B12*0.6)+IF(InteriorColor(F12)&gt;0,B12*0.8)+IF(InteriorColor(G12)&gt;0,B12*1))</f>
        <v>0</v>
      </c>
      <c r="I12" s="4"/>
    </row>
    <row r="13" spans="1:9" ht="75" x14ac:dyDescent="0.25">
      <c r="A13" s="2" t="s">
        <v>2</v>
      </c>
      <c r="B13" s="1">
        <v>10</v>
      </c>
      <c r="C13" s="4" t="s">
        <v>3</v>
      </c>
      <c r="D13" s="4" t="s">
        <v>12</v>
      </c>
      <c r="E13" s="3" t="s">
        <v>56</v>
      </c>
      <c r="F13" s="4" t="s">
        <v>13</v>
      </c>
      <c r="G13" s="4" t="s">
        <v>8</v>
      </c>
      <c r="H13" cm="1">
        <f t="array" aca="1" ref="H13" ca="1">(IF(InteriorColor(C13)&gt;0,B13*0)+IF(InteriorColor(D13)&gt;0,B13*0.4)+IF(InteriorColor(E13)&gt;0,B13*0.6)+IF(InteriorColor(F13)&gt;0,B13*0.8)+IF(InteriorColor(G13)&gt;0,B13*1))</f>
        <v>0</v>
      </c>
      <c r="I13" s="4"/>
    </row>
    <row r="14" spans="1:9" x14ac:dyDescent="0.25">
      <c r="A14" s="2" t="s">
        <v>29</v>
      </c>
      <c r="B14" s="1">
        <v>5</v>
      </c>
      <c r="C14" s="4" t="s">
        <v>31</v>
      </c>
      <c r="D14" s="4"/>
      <c r="E14" s="4"/>
      <c r="F14" s="4"/>
      <c r="G14" s="4" t="s">
        <v>32</v>
      </c>
      <c r="H14" cm="1">
        <f t="array" aca="1" ref="H14" ca="1">(IF(InteriorColor(C14)&gt;0,B14*0)+IF(InteriorColor(D14)&gt;0,B14*0.4)+IF(InteriorColor(E14)&gt;0,B14*0.6)+IF(InteriorColor(F14)&gt;0,B14*0.8)+IF(InteriorColor(G14)&gt;0,B14*1))</f>
        <v>0</v>
      </c>
      <c r="I14" s="4"/>
    </row>
    <row r="15" spans="1:9" ht="15.75" thickBot="1" x14ac:dyDescent="0.3">
      <c r="A15" s="36" t="s">
        <v>30</v>
      </c>
      <c r="B15" s="37">
        <v>5</v>
      </c>
      <c r="C15" s="38" t="s">
        <v>31</v>
      </c>
      <c r="D15" s="38"/>
      <c r="E15" s="38"/>
      <c r="F15" s="38"/>
      <c r="G15" s="38" t="s">
        <v>32</v>
      </c>
      <c r="H15" s="26" cm="1">
        <f t="array" aca="1" ref="H15" ca="1">(IF(InteriorColor(C15)&gt;0,B15*0)+IF(InteriorColor(D15)&gt;0,B15*0.4)+IF(InteriorColor(E15)&gt;0,B15*0.6)+IF(InteriorColor(F15)&gt;0,B15*0.8)+IF(InteriorColor(G15)&gt;0,B15*1))</f>
        <v>0</v>
      </c>
      <c r="I15" s="35">
        <f ca="1">IF(SUM(H2:H15)/10&gt;10, 10, SUM(H2:H15)/10)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rubric leeg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2021-07-03T13:26:20Z</dcterms:created>
  <dcterms:modified xsi:type="dcterms:W3CDTF">2021-10-13T09:42:15Z</dcterms:modified>
</cp:coreProperties>
</file>