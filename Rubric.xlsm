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ocuments\Ichthus\2021-2022\Python\"/>
    </mc:Choice>
  </mc:AlternateContent>
  <xr:revisionPtr revIDLastSave="0" documentId="13_ncr:1_{CD7DA24C-C8FC-462D-A31C-D7A6427E5B57}" xr6:coauthVersionLast="47" xr6:coauthVersionMax="47" xr10:uidLastSave="{00000000-0000-0000-0000-000000000000}"/>
  <bookViews>
    <workbookView xWindow="-120" yWindow="-120" windowWidth="29040" windowHeight="15840" xr2:uid="{92D1C851-7840-49F1-938F-1662EF0A8FDE}"/>
  </bookViews>
  <sheets>
    <sheet name="Algemeen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6" l="1" a="1"/>
  <c r="H9" i="6" a="1"/>
  <c r="H5" i="6" a="1"/>
  <c r="H6" i="6" a="1"/>
  <c r="H7" i="6" a="1"/>
  <c r="H2" i="6" a="1"/>
  <c r="H3" i="6" a="1"/>
  <c r="H4" i="6" a="1"/>
  <c r="H4" i="6" l="1"/>
  <c r="H3" i="6"/>
  <c r="H2" i="6"/>
  <c r="H7" i="6"/>
  <c r="H6" i="6"/>
  <c r="H5" i="6"/>
  <c r="H9" i="6"/>
  <c r="H8" i="6"/>
  <c r="I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<sst xmlns="http://schemas.openxmlformats.org/spreadsheetml/2006/main" count="51" uniqueCount="43">
  <si>
    <t>Onderdeel</t>
  </si>
  <si>
    <t>Weging</t>
  </si>
  <si>
    <t>Inzet</t>
  </si>
  <si>
    <t>Code</t>
  </si>
  <si>
    <t>In de les was geen of nauwelijks activiteit. Interventies van de docent leidden niet tot verandering.</t>
  </si>
  <si>
    <t>De code ontbreekt.</t>
  </si>
  <si>
    <t>Onvoldoende (0%)</t>
  </si>
  <si>
    <t>Uitstekend (100%)</t>
  </si>
  <si>
    <t>Zwak (40%)</t>
  </si>
  <si>
    <t>Goed + er is uitzonderlijke inspanning geleverd.</t>
  </si>
  <si>
    <t>Score</t>
  </si>
  <si>
    <t>Cijfer</t>
  </si>
  <si>
    <t>Slotopdracht H2</t>
  </si>
  <si>
    <t>Slotopdracht H4</t>
  </si>
  <si>
    <t>Niet ingeleverd of vol errors.</t>
  </si>
  <si>
    <t>Het script produceert (bijna helemaal) correcte resultaten, maar op erg omslachtige manieren.</t>
  </si>
  <si>
    <t>Het script produceert zeer incorrecte resultaten, of vereist het oplossen van een (eenvoudige) error.</t>
  </si>
  <si>
    <t>Het script produceert volledig correcte resultaten, op een nette en/of efficiënte manier.</t>
  </si>
  <si>
    <t>Goed + er is uitzonderlijke inspanning geleverd (zoals: goed commentaar, functies gebruikt die niet in de reader staan, …).</t>
  </si>
  <si>
    <t>Regelmatig werd er in de les niet aan de opdrachten gewerkt (en er was geen compensatie buiten de les). De docent had vooral een stimulerende rol.</t>
  </si>
  <si>
    <t>Elke les werd aan de opdrachten gewerkt en regelmatig werd de stand van zaken geëvalueerd. De docent had alleen een adviserende rol.</t>
  </si>
  <si>
    <t>Elke les werd er aan de opdrachten gewerkt. Er was geen duidelijke planning of reflectie. Er werden veel inhoudelijke vragen aan de docent gesteld.</t>
  </si>
  <si>
    <t>Eindopdracht: kwaliteit</t>
  </si>
  <si>
    <t>Eindopdracht: opmaak</t>
  </si>
  <si>
    <t>De figuren kloppen totaal niet, of er is maar een deel van de data weergegeven of een deel van de figuren gemaakt.</t>
  </si>
  <si>
    <t>De figuren kloppen bijna helemaal of is niet de juiste periode weergegeven. Er is gebruik gemaakt van subplots.</t>
  </si>
  <si>
    <t>De figuren kloppen helemaal en geven de gevraagde data en periodes weer in subplots.</t>
  </si>
  <si>
    <t>De grafiek heeft een titel en de assen een label zodat er duidelijk is wat wat is.</t>
  </si>
  <si>
    <t>De gevraagde figuren ontbreken (ook na het oplossen van eventuele errors).</t>
  </si>
  <si>
    <t>Het script produceert zeer incorrecte resultaten, of vereist het oplossen van een paar eenvoudige errors.</t>
  </si>
  <si>
    <t>Het script produceert grafieken, maar op erg omslachtige manieren.</t>
  </si>
  <si>
    <t>Het script produceert grafieken, op nette manieren die uitgelegd zijn in het dictaat.</t>
  </si>
  <si>
    <t>De opmaak is slecht: er is niet duidelijk wat er in welke plot staat of welk getal op welke plek hoort.</t>
  </si>
  <si>
    <t>Voldoende (60%)</t>
  </si>
  <si>
    <t>Goed (80%)</t>
  </si>
  <si>
    <t>Voldoende + goede limieten op de assen, grids, etc.</t>
  </si>
  <si>
    <t>Goed + er is uitzonderlijke inspanning geleverd (zoals: figuur extra goed overzichtelijk en leesbaar).</t>
  </si>
  <si>
    <t>Goed + er is uitzonderlijke inspanning geleverd (zoals: functies of technieken gebruikt die niet in het dictaat staan).</t>
  </si>
  <si>
    <t>Goed + er is uitzonderlijke inspanning geleverd, in het bijzonder: plotten van voortschrijdend gemiddelde.</t>
  </si>
  <si>
    <t>Bonuspunt UV-index</t>
  </si>
  <si>
    <t>Bonuspunt VOC en CO2</t>
  </si>
  <si>
    <t>Ontbreekt</t>
  </si>
  <si>
    <t>Aanwezig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</si>
</sst>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9" fillId="0" borderId="0" xfId="3" applyNumberFormat="1" applyFont="1" applyFill="1" applyAlignment="1">
      <alignment horizontal="left" vertical="top" wrapText="1"/>
    </xf>
    <xf numFmtId="49" fontId="9" fillId="0" borderId="0" xfId="0" applyNumberFormat="1" applyFont="1" applyFill="1" applyAlignment="1">
      <alignment horizontal="left" vertical="top" wrapText="1"/>
    </xf>
    <xf numFmtId="49" fontId="9" fillId="0" borderId="0" xfId="1" applyNumberFormat="1" applyFont="1" applyFill="1" applyAlignment="1">
      <alignment horizontal="left" vertical="top" wrapText="1"/>
    </xf>
    <xf numFmtId="49" fontId="9" fillId="0" borderId="0" xfId="2" applyNumberFormat="1" applyFont="1" applyFill="1" applyAlignment="1">
      <alignment horizontal="left" vertical="top" wrapText="1"/>
    </xf>
    <xf numFmtId="49" fontId="9" fillId="0" borderId="0" xfId="4" applyNumberFormat="1" applyFont="1" applyFill="1" applyAlignment="1">
      <alignment horizontal="left" vertical="top" wrapText="1"/>
    </xf>
    <xf numFmtId="49" fontId="9" fillId="0" borderId="0" xfId="5" applyNumberFormat="1" applyFont="1" applyFill="1" applyAlignment="1">
      <alignment horizontal="left" vertical="top" wrapText="1"/>
    </xf>
    <xf numFmtId="49" fontId="9" fillId="0" borderId="2" xfId="0" applyNumberFormat="1" applyFont="1" applyFill="1" applyBorder="1" applyAlignment="1">
      <alignment horizontal="left" vertical="top" wrapText="1"/>
    </xf>
    <xf numFmtId="164" fontId="10" fillId="0" borderId="0" xfId="0" applyNumberFormat="1" applyFont="1" applyFill="1" applyAlignment="1">
      <alignment horizontal="right" wrapText="1"/>
    </xf>
    <xf numFmtId="0" fontId="0" fillId="0" borderId="0" xfId="0" applyFont="1" applyAlignment="1">
      <alignment horizontal="center" vertical="top"/>
    </xf>
    <xf numFmtId="0" fontId="0" fillId="0" borderId="0" xfId="0" applyFill="1"/>
    <xf numFmtId="0" fontId="5" fillId="0" borderId="1" xfId="0" applyFont="1" applyFill="1" applyBorder="1" applyAlignment="1">
      <alignment horizontal="left" vertical="top"/>
    </xf>
    <xf numFmtId="0" fontId="0" fillId="0" borderId="2" xfId="0" applyFont="1" applyFill="1" applyBorder="1" applyAlignment="1">
      <alignment horizontal="center" vertical="top"/>
    </xf>
    <xf numFmtId="49" fontId="10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 applyFill="1"/>
    <xf numFmtId="0" fontId="5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19"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7D982D-225B-42CC-94E4-59DB7A43DB03}" name="Tabel1717" displayName="Tabel1717" ref="A1:I9" totalsRowShown="0" dataDxfId="18">
  <autoFilter ref="A1:I9" xr:uid="{197D982D-225B-42CC-94E4-59DB7A43DB03}"/>
  <tableColumns count="9">
    <tableColumn id="1" xr3:uid="{D3728E92-F1BF-484C-A5E4-F97A952B4269}" name="Onderdeel" dataDxfId="17" totalsRowDxfId="16"/>
    <tableColumn id="2" xr3:uid="{15051650-7149-402D-91A6-0D5984CBC024}" name="Weging" dataDxfId="15" totalsRowDxfId="14"/>
    <tableColumn id="3" xr3:uid="{3CFCBC13-4425-4629-B0EB-65E7214F0FB7}" name="Onvoldoende (0%)" dataDxfId="13" totalsRowDxfId="12"/>
    <tableColumn id="4" xr3:uid="{13B02409-D78F-47CC-BAE5-F2969553D6B9}" name="Zwak (40%)" dataDxfId="11" totalsRowDxfId="10"/>
    <tableColumn id="5" xr3:uid="{117A44C3-A9A9-4360-B299-5966B7632B5B}" name="Voldoende (60%)" dataDxfId="9" totalsRowDxfId="8"/>
    <tableColumn id="6" xr3:uid="{8962E827-14E9-4505-BBEB-7EE3C12DDE7B}" name="Goed (80%)" dataDxfId="7" totalsRowDxfId="6"/>
    <tableColumn id="7" xr3:uid="{C57A5937-BAE7-464A-A5AB-354A63562996}" name="Uitstekend (100%)" dataDxfId="5" totalsRowDxfId="4"/>
    <tableColumn id="8" xr3:uid="{37C7AE4D-796D-4175-A3F5-F860F085510E}" name="Score" dataDxfId="3" totalsRowDxfId="2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56F83983-4550-4D25-863A-C32E83914803}" name="Cijfer" dataDxfId="1" totalsRow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FA6F-32D2-4EEE-BB75-742C31165064}">
  <dimension ref="A1:I11"/>
  <sheetViews>
    <sheetView tabSelected="1" zoomScaleNormal="100" workbookViewId="0">
      <selection activeCell="B8" sqref="B8"/>
    </sheetView>
  </sheetViews>
  <sheetFormatPr defaultRowHeight="15" x14ac:dyDescent="0.25"/>
  <cols>
    <col min="1" max="1" width="22" bestFit="1" customWidth="1"/>
    <col min="2" max="2" width="10.140625" bestFit="1" customWidth="1"/>
    <col min="3" max="3" width="35.7109375" customWidth="1"/>
    <col min="4" max="7" width="40.7109375" customWidth="1"/>
    <col min="8" max="9" width="8.140625" bestFit="1" customWidth="1"/>
  </cols>
  <sheetData>
    <row r="1" spans="1:9" x14ac:dyDescent="0.25">
      <c r="A1" s="2" t="s">
        <v>0</v>
      </c>
      <c r="B1" s="2" t="s">
        <v>1</v>
      </c>
      <c r="C1" s="3" t="s">
        <v>6</v>
      </c>
      <c r="D1" s="7" t="s">
        <v>8</v>
      </c>
      <c r="E1" s="4" t="s">
        <v>33</v>
      </c>
      <c r="F1" s="5" t="s">
        <v>34</v>
      </c>
      <c r="G1" s="6" t="s">
        <v>7</v>
      </c>
      <c r="H1" t="s">
        <v>10</v>
      </c>
      <c r="I1" t="s">
        <v>11</v>
      </c>
    </row>
    <row r="2" spans="1:9" ht="45" x14ac:dyDescent="0.25">
      <c r="A2" s="2" t="s">
        <v>12</v>
      </c>
      <c r="B2" s="16">
        <v>20</v>
      </c>
      <c r="C2" s="11" t="s">
        <v>14</v>
      </c>
      <c r="D2" s="12" t="s">
        <v>16</v>
      </c>
      <c r="E2" s="8" t="s">
        <v>15</v>
      </c>
      <c r="F2" s="10" t="s">
        <v>17</v>
      </c>
      <c r="G2" s="13" t="s">
        <v>18</v>
      </c>
      <c r="H2" cm="1">
        <f t="array" aca="1" ref="H2" ca="1">(IF(InteriorColor(C2)&gt;0,B2*0)+IF(InteriorColor(D2)&gt;0,B2*0.4)+IF(InteriorColor(E2)&gt;0,B2*0.6)+IF(InteriorColor(F2)&gt;0,B2*0.8)+IF(InteriorColor(G2)&gt;0,B2*1))</f>
        <v>0</v>
      </c>
      <c r="I2" s="9"/>
    </row>
    <row r="3" spans="1:9" ht="45" x14ac:dyDescent="0.25">
      <c r="A3" s="2" t="s">
        <v>13</v>
      </c>
      <c r="B3" s="16">
        <v>20</v>
      </c>
      <c r="C3" s="11" t="s">
        <v>14</v>
      </c>
      <c r="D3" s="12" t="s">
        <v>16</v>
      </c>
      <c r="E3" s="8" t="s">
        <v>15</v>
      </c>
      <c r="F3" s="10" t="s">
        <v>17</v>
      </c>
      <c r="G3" s="13" t="s">
        <v>18</v>
      </c>
      <c r="H3" cm="1">
        <f t="array" aca="1" ref="H3" ca="1">(IF(InteriorColor(C3)&gt;0,B3*0)+IF(InteriorColor(D3)&gt;0,B3*0.4)+IF(InteriorColor(E3)&gt;0,B3*0.6)+IF(InteriorColor(F3)&gt;0,B3*0.8)+IF(InteriorColor(G3)&gt;0,B3*1))</f>
        <v>0</v>
      </c>
      <c r="I3" s="9"/>
    </row>
    <row r="4" spans="1:9" ht="60" x14ac:dyDescent="0.25">
      <c r="A4" s="2" t="s">
        <v>2</v>
      </c>
      <c r="B4" s="1">
        <v>10</v>
      </c>
      <c r="C4" s="9" t="s">
        <v>4</v>
      </c>
      <c r="D4" s="9" t="s">
        <v>19</v>
      </c>
      <c r="E4" s="8" t="s">
        <v>21</v>
      </c>
      <c r="F4" s="9" t="s">
        <v>20</v>
      </c>
      <c r="G4" s="9" t="s">
        <v>9</v>
      </c>
      <c r="H4" cm="1">
        <f t="array" aca="1" ref="H4" ca="1">(IF(InteriorColor(C4)&gt;0,B4*0)+IF(InteriorColor(D4)&gt;0,B4*0.4)+IF(InteriorColor(E4)&gt;0,B4*0.6)+IF(InteriorColor(F4)&gt;0,B4*0.8)+IF(InteriorColor(G4)&gt;0,B4*1))</f>
        <v>0</v>
      </c>
      <c r="I4" s="9"/>
    </row>
    <row r="5" spans="1:9" ht="45" x14ac:dyDescent="0.25">
      <c r="A5" s="2" t="s">
        <v>22</v>
      </c>
      <c r="B5" s="1">
        <v>10</v>
      </c>
      <c r="C5" s="11" t="s">
        <v>28</v>
      </c>
      <c r="D5" s="9" t="s">
        <v>24</v>
      </c>
      <c r="E5" s="9" t="s">
        <v>25</v>
      </c>
      <c r="F5" s="9" t="s">
        <v>26</v>
      </c>
      <c r="G5" s="9" t="s">
        <v>38</v>
      </c>
      <c r="H5" cm="1">
        <f t="array" aca="1" ref="H5" ca="1">(IF(InteriorColor(C5)&gt;0,B5*0)+IF(InteriorColor(D5)&gt;0,B5*0.4)+IF(InteriorColor(E5)&gt;0,B5*0.6)+IF(InteriorColor(F5)&gt;0,B5*0.8)+IF(InteriorColor(G5)&gt;0,B5*1))</f>
        <v>0</v>
      </c>
      <c r="I5" s="9"/>
    </row>
    <row r="6" spans="1:9" ht="45" x14ac:dyDescent="0.25">
      <c r="A6" s="2" t="s">
        <v>23</v>
      </c>
      <c r="B6" s="1">
        <v>10</v>
      </c>
      <c r="C6" s="11" t="s">
        <v>28</v>
      </c>
      <c r="D6" s="12" t="s">
        <v>32</v>
      </c>
      <c r="E6" s="9" t="s">
        <v>27</v>
      </c>
      <c r="F6" s="9" t="s">
        <v>35</v>
      </c>
      <c r="G6" s="9" t="s">
        <v>36</v>
      </c>
      <c r="H6" cm="1">
        <f t="array" aca="1" ref="H6" ca="1">(IF(InteriorColor(C6)&gt;0,B6*0)+IF(InteriorColor(D6)&gt;0,B6*0.4)+IF(InteriorColor(E6)&gt;0,B6*0.6)+IF(InteriorColor(F6)&gt;0,B6*0.8)+IF(InteriorColor(G6)&gt;0,B6*1))</f>
        <v>0</v>
      </c>
      <c r="I6" s="9"/>
    </row>
    <row r="7" spans="1:9" ht="45" x14ac:dyDescent="0.25">
      <c r="A7" s="2" t="s">
        <v>3</v>
      </c>
      <c r="B7" s="1">
        <v>30</v>
      </c>
      <c r="C7" s="9" t="s">
        <v>5</v>
      </c>
      <c r="D7" s="12" t="s">
        <v>29</v>
      </c>
      <c r="E7" s="8" t="s">
        <v>30</v>
      </c>
      <c r="F7" s="8" t="s">
        <v>31</v>
      </c>
      <c r="G7" s="13" t="s">
        <v>37</v>
      </c>
      <c r="H7" cm="1">
        <f t="array" aca="1" ref="H7" ca="1">(IF(InteriorColor(C7)&gt;0,B7*0)+IF(InteriorColor(D7)&gt;0,B7*0.4)+IF(InteriorColor(E7)&gt;0,B7*0.6)+IF(InteriorColor(F7)&gt;0,B7*0.8)+IF(InteriorColor(G7)&gt;0,B7*1))</f>
        <v>0</v>
      </c>
      <c r="I7" s="9"/>
    </row>
    <row r="8" spans="1:9" x14ac:dyDescent="0.25">
      <c r="A8" s="2" t="s">
        <v>39</v>
      </c>
      <c r="B8" s="1">
        <v>5</v>
      </c>
      <c r="C8" s="9" t="s">
        <v>41</v>
      </c>
      <c r="D8" s="9"/>
      <c r="E8" s="9"/>
      <c r="F8" s="9"/>
      <c r="G8" s="9" t="s">
        <v>42</v>
      </c>
      <c r="H8" cm="1">
        <f t="array" aca="1" ref="H8" ca="1">(IF(InteriorColor(C8)&gt;0,B8*0)+IF(InteriorColor(D8)&gt;0,B8*0.4)+IF(InteriorColor(E8)&gt;0,B8*0.6)+IF(InteriorColor(F8)&gt;0,B8*0.8)+IF(InteriorColor(G8)&gt;0,B8*1))</f>
        <v>0</v>
      </c>
      <c r="I8" s="9"/>
    </row>
    <row r="9" spans="1:9" s="17" customFormat="1" x14ac:dyDescent="0.25">
      <c r="A9" s="22" t="s">
        <v>40</v>
      </c>
      <c r="B9" s="23">
        <v>5</v>
      </c>
      <c r="C9" s="9" t="s">
        <v>41</v>
      </c>
      <c r="D9" s="9"/>
      <c r="E9" s="9"/>
      <c r="F9" s="9"/>
      <c r="G9" s="9" t="s">
        <v>42</v>
      </c>
      <c r="H9" cm="1">
        <f t="array" aca="1" ref="H9" ca="1">(IF(InteriorColor(C9)&gt;0,B9*0)+IF(InteriorColor(D9)&gt;0,B9*0.4)+IF(InteriorColor(E9)&gt;0,B9*0.6)+IF(InteriorColor(F9)&gt;0,B9*0.8)+IF(InteriorColor(G9)&gt;0,B9*1))</f>
        <v>0</v>
      </c>
      <c r="I9" s="15">
        <f ca="1">IF(SUM(H2:H9)/10&gt;10, 10, SUM(H2:H9)/10)</f>
        <v>0</v>
      </c>
    </row>
    <row r="10" spans="1:9" s="17" customFormat="1" x14ac:dyDescent="0.25">
      <c r="A10" s="18"/>
      <c r="B10" s="19"/>
      <c r="C10" s="14"/>
      <c r="D10" s="14"/>
      <c r="E10" s="20"/>
      <c r="F10" s="14"/>
      <c r="G10" s="14"/>
      <c r="I10" s="21"/>
    </row>
    <row r="11" spans="1:9" s="17" customFormat="1" x14ac:dyDescent="0.25">
      <c r="A11" s="18"/>
      <c r="B11" s="19"/>
      <c r="C11" s="14"/>
      <c r="D11" s="14"/>
      <c r="E11" s="14"/>
      <c r="F11" s="20"/>
      <c r="G11" s="14"/>
      <c r="I11" s="2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Algemeen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2021-07-03T13:26:20Z</dcterms:created>
  <dcterms:modified xsi:type="dcterms:W3CDTF">2021-08-31T09:53:42Z</dcterms:modified>
</cp:coreProperties>
</file>